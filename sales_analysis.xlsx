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sis Penjualan-Excel\"/>
    </mc:Choice>
  </mc:AlternateContent>
  <xr:revisionPtr revIDLastSave="0" documentId="8_{E4D9FAB9-A52A-413F-9C46-42EC1A48786B}" xr6:coauthVersionLast="47" xr6:coauthVersionMax="47" xr10:uidLastSave="{00000000-0000-0000-0000-000000000000}"/>
  <bookViews>
    <workbookView xWindow="-120" yWindow="-120" windowWidth="20730" windowHeight="11040" activeTab="3" xr2:uid="{85692BDE-2201-4672-B50F-FF080307CBB6}"/>
  </bookViews>
  <sheets>
    <sheet name="Chart1" sheetId="2" r:id="rId1"/>
    <sheet name="Sheet4" sheetId="5" r:id="rId2"/>
    <sheet name="Sheet6" sheetId="7" r:id="rId3"/>
    <sheet name="Sheet7" sheetId="8" r:id="rId4"/>
    <sheet name="Sheet1" sheetId="1" r:id="rId5"/>
    <sheet name="Sheet5" sheetId="6" r:id="rId6"/>
  </sheets>
  <calcPr calcId="191029"/>
  <pivotCaches>
    <pivotCache cacheId="5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<sst xmlns="http://schemas.openxmlformats.org/spreadsheetml/2006/main" count="45" uniqueCount="28">
  <si>
    <t>Tanggal</t>
  </si>
  <si>
    <t>Produk</t>
  </si>
  <si>
    <t>Kota</t>
  </si>
  <si>
    <t>Jumlah</t>
  </si>
  <si>
    <t>Harga</t>
  </si>
  <si>
    <t>Laptop</t>
  </si>
  <si>
    <t>Jakarta</t>
  </si>
  <si>
    <t>Mouse</t>
  </si>
  <si>
    <t>Bandung</t>
  </si>
  <si>
    <t>Surabaya</t>
  </si>
  <si>
    <t>Keyboard</t>
  </si>
  <si>
    <t>pc</t>
  </si>
  <si>
    <t>klaten</t>
  </si>
  <si>
    <t>total</t>
  </si>
  <si>
    <t>Row Labels</t>
  </si>
  <si>
    <t>Grand Total</t>
  </si>
  <si>
    <t>Sum of total</t>
  </si>
  <si>
    <t>Sum</t>
  </si>
  <si>
    <t>Average</t>
  </si>
  <si>
    <t>Running Total</t>
  </si>
  <si>
    <t>Count</t>
  </si>
  <si>
    <t>Bulan</t>
  </si>
  <si>
    <t>(blank)</t>
  </si>
  <si>
    <t>Rata- Rata Penjualan =</t>
  </si>
  <si>
    <t>Total Semua Penjualan =</t>
  </si>
  <si>
    <t>Jumlah transaksi =</t>
  </si>
  <si>
    <t>Jumlah Terbesar =</t>
  </si>
  <si>
    <t>jumlah TerKecil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</si>
</sst>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Jumlah</c:v>
                </c:pt>
                <c:pt idx="1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Sheet1!$A$3:$C$10</c:f>
              <c:multiLvlStrCache>
                <c:ptCount val="8"/>
                <c:lvl>
                  <c:pt idx="0">
                    <c:v>Bandung</c:v>
                  </c:pt>
                  <c:pt idx="1">
                    <c:v>Surabaya</c:v>
                  </c:pt>
                  <c:pt idx="2">
                    <c:v>Jakarta</c:v>
                  </c:pt>
                  <c:pt idx="3">
                    <c:v>Jakarta</c:v>
                  </c:pt>
                  <c:pt idx="4">
                    <c:v>Bandung</c:v>
                  </c:pt>
                  <c:pt idx="5">
                    <c:v>Surabaya</c:v>
                  </c:pt>
                  <c:pt idx="6">
                    <c:v>Jakarta</c:v>
                  </c:pt>
                  <c:pt idx="7">
                    <c:v>klaten</c:v>
                  </c:pt>
                </c:lvl>
                <c:lvl>
                  <c:pt idx="0">
                    <c:v>Mouse</c:v>
                  </c:pt>
                  <c:pt idx="1">
                    <c:v>Laptop</c:v>
                  </c:pt>
                  <c:pt idx="2">
                    <c:v>Keyboard</c:v>
                  </c:pt>
                  <c:pt idx="3">
                    <c:v>Mouse</c:v>
                  </c:pt>
                  <c:pt idx="4">
                    <c:v>Laptop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pc</c:v>
                  </c:pt>
                </c:lvl>
                <c:lvl>
                  <c:pt idx="0">
                    <c:v>01/01/2024</c:v>
                  </c:pt>
                  <c:pt idx="1">
                    <c:v>02/01/2024</c:v>
                  </c:pt>
                  <c:pt idx="2">
                    <c:v>02/01/2024</c:v>
                  </c:pt>
                  <c:pt idx="3">
                    <c:v>03/05/2024</c:v>
                  </c:pt>
                  <c:pt idx="4">
                    <c:v>03/01/2024</c:v>
                  </c:pt>
                  <c:pt idx="5">
                    <c:v>04/01/2024</c:v>
                  </c:pt>
                  <c:pt idx="6">
                    <c:v>04/01/2024</c:v>
                  </c:pt>
                  <c:pt idx="7">
                    <c:v>04/02/2024</c:v>
                  </c:pt>
                </c:lvl>
              </c:multiLvlStrCache>
            </c:multiLvlStrRef>
          </c:cat>
          <c:val>
            <c:numRef>
              <c:f>Sheet1!$D$3:$D$10</c:f>
              <c:numCache>
                <c:formatCode>General</c:formatCode>
                <c:ptCount val="8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C-43DD-8BAB-D6936533FA9D}"/>
            </c:ext>
          </c:extLst>
        </c:ser>
        <c:ser>
          <c:idx val="1"/>
          <c:order val="1"/>
          <c:tx>
            <c:strRef>
              <c:f>Sheet1!$E$1:$E$2</c:f>
              <c:strCache>
                <c:ptCount val="2"/>
                <c:pt idx="0">
                  <c:v>Harga</c:v>
                </c:pt>
                <c:pt idx="1">
                  <c:v>8000000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Sheet1!$A$3:$C$10</c:f>
              <c:multiLvlStrCache>
                <c:ptCount val="8"/>
                <c:lvl>
                  <c:pt idx="0">
                    <c:v>Bandung</c:v>
                  </c:pt>
                  <c:pt idx="1">
                    <c:v>Surabaya</c:v>
                  </c:pt>
                  <c:pt idx="2">
                    <c:v>Jakarta</c:v>
                  </c:pt>
                  <c:pt idx="3">
                    <c:v>Jakarta</c:v>
                  </c:pt>
                  <c:pt idx="4">
                    <c:v>Bandung</c:v>
                  </c:pt>
                  <c:pt idx="5">
                    <c:v>Surabaya</c:v>
                  </c:pt>
                  <c:pt idx="6">
                    <c:v>Jakarta</c:v>
                  </c:pt>
                  <c:pt idx="7">
                    <c:v>klaten</c:v>
                  </c:pt>
                </c:lvl>
                <c:lvl>
                  <c:pt idx="0">
                    <c:v>Mouse</c:v>
                  </c:pt>
                  <c:pt idx="1">
                    <c:v>Laptop</c:v>
                  </c:pt>
                  <c:pt idx="2">
                    <c:v>Keyboard</c:v>
                  </c:pt>
                  <c:pt idx="3">
                    <c:v>Mouse</c:v>
                  </c:pt>
                  <c:pt idx="4">
                    <c:v>Laptop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pc</c:v>
                  </c:pt>
                </c:lvl>
                <c:lvl>
                  <c:pt idx="0">
                    <c:v>01/01/2024</c:v>
                  </c:pt>
                  <c:pt idx="1">
                    <c:v>02/01/2024</c:v>
                  </c:pt>
                  <c:pt idx="2">
                    <c:v>02/01/2024</c:v>
                  </c:pt>
                  <c:pt idx="3">
                    <c:v>03/05/2024</c:v>
                  </c:pt>
                  <c:pt idx="4">
                    <c:v>03/01/2024</c:v>
                  </c:pt>
                  <c:pt idx="5">
                    <c:v>04/01/2024</c:v>
                  </c:pt>
                  <c:pt idx="6">
                    <c:v>04/01/2024</c:v>
                  </c:pt>
                  <c:pt idx="7">
                    <c:v>04/02/2024</c:v>
                  </c:pt>
                </c:lvl>
              </c:multiLvlStrCache>
            </c:multiLvlStrRef>
          </c:cat>
          <c:val>
            <c:numRef>
              <c:f>Sheet1!$E$3:$E$10</c:f>
              <c:numCache>
                <c:formatCode>General</c:formatCode>
                <c:ptCount val="8"/>
                <c:pt idx="0">
                  <c:v>150000</c:v>
                </c:pt>
                <c:pt idx="1">
                  <c:v>8000000</c:v>
                </c:pt>
                <c:pt idx="2">
                  <c:v>300000</c:v>
                </c:pt>
                <c:pt idx="3">
                  <c:v>150000</c:v>
                </c:pt>
                <c:pt idx="4">
                  <c:v>8000000</c:v>
                </c:pt>
                <c:pt idx="5">
                  <c:v>300000</c:v>
                </c:pt>
                <c:pt idx="6">
                  <c:v>150000</c:v>
                </c:pt>
                <c:pt idx="7">
                  <c:v>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C-43DD-8BAB-D6936533F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46991"/>
        <c:axId val="82347471"/>
      </c:barChart>
      <c:catAx>
        <c:axId val="8234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7471"/>
        <c:crosses val="autoZero"/>
        <c:auto val="1"/>
        <c:lblAlgn val="ctr"/>
        <c:lblOffset val="100"/>
        <c:noMultiLvlLbl val="0"/>
      </c:catAx>
      <c:valAx>
        <c:axId val="823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[sales_analysis.xlsx]Sheet7!PivotTable16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  <c:pt idx="3">
                  <c:v>pc</c:v>
                </c:pt>
                <c:pt idx="4">
                  <c:v>(blank)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1500000</c:v>
                </c:pt>
                <c:pt idx="1">
                  <c:v>40000000</c:v>
                </c:pt>
                <c:pt idx="2">
                  <c:v>2250000</c:v>
                </c:pt>
                <c:pt idx="3">
                  <c:v>3250000</c:v>
                </c:pt>
                <c:pt idx="4">
                  <c:v>68222231.222222224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B-4476-B3E7-C525129E5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983567"/>
        <c:axId val="319984047"/>
      </c:barChart>
      <c:catAx>
        <c:axId val="31998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984047"/>
        <c:crosses val="autoZero"/>
        <c:auto val="1"/>
        <c:lblAlgn val="ctr"/>
        <c:lblOffset val="100"/>
        <c:noMultiLvlLbl val="0"/>
      </c:catAx>
      <c:valAx>
        <c:axId val="31998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9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DF4BE1-EADF-43D1-953B-03FD421760B6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B7854-CC5F-D429-B489-C77D8D8706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</xdr:row>
      <xdr:rowOff>166687</xdr:rowOff>
    </xdr:from>
    <xdr:to>
      <xdr:col>12</xdr:col>
      <xdr:colOff>28575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00CA4-2467-8E0A-5708-86B481690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40.960922337959" createdVersion="8" refreshedVersion="8" minRefreshableVersion="3" recordCount="14" xr:uid="{2442F7A4-7E5F-4ED9-914C-E80C31086CE7}">
  <cacheSource type="worksheet">
    <worksheetSource ref="A1:G15" sheet="Sheet1"/>
  </cacheSource>
  <cacheFields count="9">
    <cacheField name="Tanggal" numFmtId="0">
      <sharedItems containsNonDate="0" containsDate="1" containsString="0" containsBlank="1" minDate="2024-01-01T00:00:00" maxDate="2024-05-04T00:00:00" count="7">
        <d v="2024-01-01T00:00:00"/>
        <d v="2024-01-02T00:00:00"/>
        <d v="2024-05-03T00:00:00"/>
        <d v="2024-01-03T00:00:00"/>
        <d v="2024-01-04T00:00:00"/>
        <d v="2024-02-04T00:00:00"/>
        <m/>
      </sharedItems>
      <fieldGroup par="8"/>
    </cacheField>
    <cacheField name="Produk" numFmtId="0">
      <sharedItems containsBlank="1" count="5">
        <s v="Laptop"/>
        <s v="Mouse"/>
        <s v="Keyboard"/>
        <s v="pc"/>
        <m/>
      </sharedItems>
    </cacheField>
    <cacheField name="Kota" numFmtId="0">
      <sharedItems containsBlank="1" count="5">
        <s v="Jakarta"/>
        <s v="Bandung"/>
        <s v="Surabaya"/>
        <s v="klaten"/>
        <m/>
      </sharedItems>
    </cacheField>
    <cacheField name="Jumlah" numFmtId="0">
      <sharedItems containsMixedTypes="1" containsNumber="1" containsInteger="1" minValue="1" maxValue="6" count="11">
        <n v="2"/>
        <n v="5"/>
        <n v="1"/>
        <n v="3"/>
        <n v="4"/>
        <n v="6"/>
        <s v="Total Semua Penjualan ="/>
        <s v="Rata- Rata Penjualan ="/>
        <s v="Jumlah transaksi ="/>
        <s v="Jumlah Terbesar ="/>
        <s v="jumlah TerKecil ="/>
      </sharedItems>
    </cacheField>
    <cacheField name="Harga" numFmtId="0">
      <sharedItems containsString="0" containsBlank="1" containsNumber="1" containsInteger="1" minValue="150000" maxValue="8000000"/>
    </cacheField>
    <cacheField name="total" numFmtId="0">
      <sharedItems containsString="0" containsBlank="1" containsNumber="1" minValue="9" maxValue="47000000"/>
    </cacheField>
    <cacheField name="Bulan" numFmtId="0">
      <sharedItems containsString="0" containsBlank="1" containsNumber="1" containsInteger="1" minValue="1" maxValue="5"/>
    </cacheField>
    <cacheField name="Days (Tanggal)" numFmtId="0" databaseField="0">
      <fieldGroup base="0">
        <rangePr groupBy="days" startDate="2024-01-01T00:00:00" endDate="2024-05-04T00:00:00"/>
        <groupItems count="368">
          <s v="&lt;01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4/05/2024"/>
        </groupItems>
      </fieldGroup>
    </cacheField>
    <cacheField name="Months (Tanggal)" numFmtId="0" databaseField="0">
      <fieldGroup base="0">
        <rangePr groupBy="months" startDate="2024-01-01T00:00:00" endDate="2024-05-04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05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x v="0"/>
    <n v="8000000"/>
    <n v="16000000"/>
    <n v="1"/>
  </r>
  <r>
    <x v="0"/>
    <x v="1"/>
    <x v="1"/>
    <x v="1"/>
    <n v="150000"/>
    <n v="750000"/>
    <n v="1"/>
  </r>
  <r>
    <x v="1"/>
    <x v="0"/>
    <x v="2"/>
    <x v="2"/>
    <n v="8000000"/>
    <n v="8000000"/>
    <n v="1"/>
  </r>
  <r>
    <x v="1"/>
    <x v="2"/>
    <x v="0"/>
    <x v="3"/>
    <n v="300000"/>
    <n v="900000"/>
    <n v="1"/>
  </r>
  <r>
    <x v="2"/>
    <x v="1"/>
    <x v="0"/>
    <x v="4"/>
    <n v="150000"/>
    <n v="600000"/>
    <n v="5"/>
  </r>
  <r>
    <x v="3"/>
    <x v="0"/>
    <x v="1"/>
    <x v="0"/>
    <n v="8000000"/>
    <n v="16000000"/>
    <n v="1"/>
  </r>
  <r>
    <x v="4"/>
    <x v="2"/>
    <x v="2"/>
    <x v="0"/>
    <n v="300000"/>
    <n v="600000"/>
    <n v="1"/>
  </r>
  <r>
    <x v="4"/>
    <x v="1"/>
    <x v="0"/>
    <x v="5"/>
    <n v="150000"/>
    <n v="900000"/>
    <n v="1"/>
  </r>
  <r>
    <x v="5"/>
    <x v="3"/>
    <x v="3"/>
    <x v="1"/>
    <n v="650000"/>
    <n v="3250000"/>
    <n v="2"/>
  </r>
  <r>
    <x v="6"/>
    <x v="4"/>
    <x v="4"/>
    <x v="6"/>
    <m/>
    <n v="47000000"/>
    <m/>
  </r>
  <r>
    <x v="6"/>
    <x v="4"/>
    <x v="4"/>
    <x v="7"/>
    <m/>
    <n v="5222222.222222222"/>
    <m/>
  </r>
  <r>
    <x v="6"/>
    <x v="4"/>
    <x v="4"/>
    <x v="8"/>
    <m/>
    <n v="9"/>
    <m/>
  </r>
  <r>
    <x v="6"/>
    <x v="4"/>
    <x v="4"/>
    <x v="9"/>
    <m/>
    <n v="16000000"/>
    <m/>
  </r>
  <r>
    <x v="6"/>
    <x v="4"/>
    <x v="4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11C94-479A-4ABB-B2EF-8E1013F2155E}" name="PivotTable1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9">
    <pivotField showAll="0">
      <items count="8">
        <item x="0"/>
        <item x="1"/>
        <item x="3"/>
        <item x="4"/>
        <item x="5"/>
        <item x="2"/>
        <item x="6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12">
        <item x="2"/>
        <item x="0"/>
        <item x="3"/>
        <item x="4"/>
        <item x="1"/>
        <item x="5"/>
        <item x="9"/>
        <item x="10"/>
        <item x="8"/>
        <item x="7"/>
        <item x="6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FD90-D0DD-4994-8FF0-7EE169B5D8C6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8340-B781-4B55-B84B-D944E7E1AB88}">
  <dimension ref="A1"/>
  <sheetViews>
    <sheetView workbookViewId="0">
      <selection activeCell="E12" sqref="E1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3643-CE39-4457-97F6-DEBB1FC33220}">
  <dimension ref="A3:B9"/>
  <sheetViews>
    <sheetView tabSelected="1" workbookViewId="0">
      <selection activeCell="B5" sqref="B5"/>
    </sheetView>
  </sheetViews>
  <sheetFormatPr defaultRowHeight="15" x14ac:dyDescent="0.25"/>
  <cols>
    <col min="1" max="1" width="13.42578125" bestFit="1" customWidth="1"/>
    <col min="2" max="4" width="12" bestFit="1" customWidth="1"/>
  </cols>
  <sheetData>
    <row r="3" spans="1:2" x14ac:dyDescent="0.25">
      <c r="A3" s="7" t="s">
        <v>14</v>
      </c>
      <c r="B3" t="s">
        <v>16</v>
      </c>
    </row>
    <row r="4" spans="1:2" x14ac:dyDescent="0.25">
      <c r="A4" s="8" t="s">
        <v>10</v>
      </c>
      <c r="B4" s="9">
        <v>1500000</v>
      </c>
    </row>
    <row r="5" spans="1:2" x14ac:dyDescent="0.25">
      <c r="A5" s="8" t="s">
        <v>5</v>
      </c>
      <c r="B5" s="9">
        <v>40000000</v>
      </c>
    </row>
    <row r="6" spans="1:2" x14ac:dyDescent="0.25">
      <c r="A6" s="8" t="s">
        <v>7</v>
      </c>
      <c r="B6" s="9">
        <v>2250000</v>
      </c>
    </row>
    <row r="7" spans="1:2" x14ac:dyDescent="0.25">
      <c r="A7" s="8" t="s">
        <v>11</v>
      </c>
      <c r="B7" s="9">
        <v>3250000</v>
      </c>
    </row>
    <row r="8" spans="1:2" x14ac:dyDescent="0.25">
      <c r="A8" s="8" t="s">
        <v>22</v>
      </c>
      <c r="B8" s="9">
        <v>68222231.222222224</v>
      </c>
    </row>
    <row r="9" spans="1:2" x14ac:dyDescent="0.25">
      <c r="A9" s="8" t="s">
        <v>15</v>
      </c>
      <c r="B9" s="9">
        <v>115222231.22222222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856E-77ED-4D18-8968-0F59F6FECC5F}">
  <dimension ref="A1:G20"/>
  <sheetViews>
    <sheetView workbookViewId="0">
      <selection sqref="A1:G15"/>
    </sheetView>
  </sheetViews>
  <sheetFormatPr defaultRowHeight="15" x14ac:dyDescent="0.25"/>
  <cols>
    <col min="1" max="5" width="14.42578125" customWidth="1"/>
    <col min="6" max="6" width="20.42578125" customWidth="1"/>
    <col min="7" max="7" width="15.425781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13</v>
      </c>
      <c r="G1" s="3" t="s">
        <v>21</v>
      </c>
    </row>
    <row r="2" spans="1:7" x14ac:dyDescent="0.25">
      <c r="A2" s="4">
        <v>45292</v>
      </c>
      <c r="B2" s="2" t="s">
        <v>5</v>
      </c>
      <c r="C2" s="2" t="s">
        <v>6</v>
      </c>
      <c r="D2" s="2">
        <v>2</v>
      </c>
      <c r="E2" s="2">
        <v>8000000</v>
      </c>
      <c r="F2" s="1">
        <f>D2*E2</f>
        <v>16000000</v>
      </c>
      <c r="G2" s="1">
        <f>MONTH(A2)</f>
        <v>1</v>
      </c>
    </row>
    <row r="3" spans="1:7" x14ac:dyDescent="0.25">
      <c r="A3" s="4">
        <v>45292</v>
      </c>
      <c r="B3" s="2" t="s">
        <v>7</v>
      </c>
      <c r="C3" s="2" t="s">
        <v>8</v>
      </c>
      <c r="D3" s="2">
        <v>5</v>
      </c>
      <c r="E3" s="2">
        <v>150000</v>
      </c>
      <c r="F3" s="1">
        <f t="shared" ref="F3:F10" si="0">D3*E3</f>
        <v>750000</v>
      </c>
      <c r="G3" s="1">
        <f t="shared" ref="G3:G10" si="1">MONTH(A3)</f>
        <v>1</v>
      </c>
    </row>
    <row r="4" spans="1:7" x14ac:dyDescent="0.25">
      <c r="A4" s="4">
        <v>45293</v>
      </c>
      <c r="B4" s="2" t="s">
        <v>5</v>
      </c>
      <c r="C4" s="2" t="s">
        <v>9</v>
      </c>
      <c r="D4" s="2">
        <v>1</v>
      </c>
      <c r="E4" s="2">
        <v>8000000</v>
      </c>
      <c r="F4" s="1">
        <f t="shared" si="0"/>
        <v>8000000</v>
      </c>
      <c r="G4" s="1">
        <f t="shared" si="1"/>
        <v>1</v>
      </c>
    </row>
    <row r="5" spans="1:7" x14ac:dyDescent="0.25">
      <c r="A5" s="4">
        <v>45293</v>
      </c>
      <c r="B5" s="2" t="s">
        <v>10</v>
      </c>
      <c r="C5" s="2" t="s">
        <v>6</v>
      </c>
      <c r="D5" s="2">
        <v>3</v>
      </c>
      <c r="E5" s="2">
        <v>300000</v>
      </c>
      <c r="F5" s="1">
        <f t="shared" si="0"/>
        <v>900000</v>
      </c>
      <c r="G5" s="1">
        <f t="shared" si="1"/>
        <v>1</v>
      </c>
    </row>
    <row r="6" spans="1:7" x14ac:dyDescent="0.25">
      <c r="A6" s="4">
        <v>45415</v>
      </c>
      <c r="B6" s="2" t="s">
        <v>7</v>
      </c>
      <c r="C6" s="2" t="s">
        <v>6</v>
      </c>
      <c r="D6" s="2">
        <v>4</v>
      </c>
      <c r="E6" s="2">
        <v>150000</v>
      </c>
      <c r="F6" s="1">
        <f t="shared" si="0"/>
        <v>600000</v>
      </c>
      <c r="G6" s="1">
        <f t="shared" si="1"/>
        <v>5</v>
      </c>
    </row>
    <row r="7" spans="1:7" x14ac:dyDescent="0.25">
      <c r="A7" s="4">
        <v>45294</v>
      </c>
      <c r="B7" s="2" t="s">
        <v>5</v>
      </c>
      <c r="C7" s="2" t="s">
        <v>8</v>
      </c>
      <c r="D7" s="2">
        <v>2</v>
      </c>
      <c r="E7" s="2">
        <v>8000000</v>
      </c>
      <c r="F7" s="1">
        <f t="shared" si="0"/>
        <v>16000000</v>
      </c>
      <c r="G7" s="1">
        <f t="shared" si="1"/>
        <v>1</v>
      </c>
    </row>
    <row r="8" spans="1:7" x14ac:dyDescent="0.25">
      <c r="A8" s="4">
        <v>45295</v>
      </c>
      <c r="B8" s="2" t="s">
        <v>10</v>
      </c>
      <c r="C8" s="2" t="s">
        <v>9</v>
      </c>
      <c r="D8" s="2">
        <v>2</v>
      </c>
      <c r="E8" s="2">
        <v>300000</v>
      </c>
      <c r="F8" s="1">
        <f t="shared" si="0"/>
        <v>600000</v>
      </c>
      <c r="G8" s="1">
        <f t="shared" si="1"/>
        <v>1</v>
      </c>
    </row>
    <row r="9" spans="1:7" x14ac:dyDescent="0.25">
      <c r="A9" s="4">
        <v>45295</v>
      </c>
      <c r="B9" s="2" t="s">
        <v>7</v>
      </c>
      <c r="C9" s="2" t="s">
        <v>6</v>
      </c>
      <c r="D9" s="2">
        <v>6</v>
      </c>
      <c r="E9" s="2">
        <v>150000</v>
      </c>
      <c r="F9" s="1">
        <f t="shared" si="0"/>
        <v>900000</v>
      </c>
      <c r="G9" s="1">
        <f t="shared" si="1"/>
        <v>1</v>
      </c>
    </row>
    <row r="10" spans="1:7" x14ac:dyDescent="0.25">
      <c r="A10" s="5">
        <v>45326</v>
      </c>
      <c r="B10" s="1" t="s">
        <v>11</v>
      </c>
      <c r="C10" s="1" t="s">
        <v>12</v>
      </c>
      <c r="D10" s="1">
        <v>5</v>
      </c>
      <c r="E10" s="1">
        <v>650000</v>
      </c>
      <c r="F10" s="1">
        <f t="shared" si="0"/>
        <v>3250000</v>
      </c>
      <c r="G10" s="1">
        <f t="shared" si="1"/>
        <v>2</v>
      </c>
    </row>
    <row r="11" spans="1:7" x14ac:dyDescent="0.25">
      <c r="A11" s="1"/>
      <c r="B11" s="1"/>
      <c r="C11" s="1"/>
      <c r="D11" s="6" t="s">
        <v>24</v>
      </c>
      <c r="E11" s="6"/>
      <c r="F11" s="1">
        <f>SUM(F2:F10)</f>
        <v>47000000</v>
      </c>
      <c r="G11" s="1"/>
    </row>
    <row r="12" spans="1:7" x14ac:dyDescent="0.25">
      <c r="A12" s="1"/>
      <c r="B12" s="1"/>
      <c r="C12" s="1"/>
      <c r="D12" s="6" t="s">
        <v>23</v>
      </c>
      <c r="E12" s="6"/>
      <c r="F12" s="1">
        <f>AVERAGE(F2:F10)</f>
        <v>5222222.222222222</v>
      </c>
    </row>
    <row r="13" spans="1:7" x14ac:dyDescent="0.25">
      <c r="A13" s="1"/>
      <c r="B13" s="1"/>
      <c r="C13" s="1"/>
      <c r="D13" s="6" t="s">
        <v>25</v>
      </c>
      <c r="E13" s="6"/>
      <c r="F13" s="1">
        <f>COUNT(F2:F10)</f>
        <v>9</v>
      </c>
    </row>
    <row r="14" spans="1:7" x14ac:dyDescent="0.25">
      <c r="A14" s="1"/>
      <c r="B14" s="1"/>
      <c r="C14" s="1"/>
      <c r="D14" s="6" t="s">
        <v>26</v>
      </c>
      <c r="E14" s="6"/>
      <c r="F14" s="1">
        <f>MAX(F2:F10)</f>
        <v>16000000</v>
      </c>
    </row>
    <row r="15" spans="1:7" x14ac:dyDescent="0.25">
      <c r="A15" s="1"/>
      <c r="B15" s="1"/>
      <c r="C15" s="1"/>
      <c r="D15" s="6" t="s">
        <v>27</v>
      </c>
      <c r="E15" s="6"/>
      <c r="F15" s="1"/>
    </row>
    <row r="16" spans="1:7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</sheetData>
  <mergeCells count="5">
    <mergeCell ref="D11:E11"/>
    <mergeCell ref="D12:E12"/>
    <mergeCell ref="D13:E13"/>
    <mergeCell ref="D14:E14"/>
    <mergeCell ref="D15:E15"/>
  </mergeCells>
  <conditionalFormatting sqref="D2:E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{F401CFEB-2C8F-4CC4-9739-89BE3A0C0D2D}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1CFEB-2C8F-4CC4-9739-89BE3A0C0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D2:E10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B3F1-076F-44E8-AA7F-EB63382839D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Sheet4</vt:lpstr>
      <vt:lpstr>Sheet6</vt:lpstr>
      <vt:lpstr>Sheet7</vt:lpstr>
      <vt:lpstr>Sheet1</vt:lpstr>
      <vt:lpstr>Sheet5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FATTAHUL HALIM ALWAFAA</dc:creator>
  <cp:lastModifiedBy>FATTAHUL HALIM ALWAFAA</cp:lastModifiedBy>
  <dcterms:created xsi:type="dcterms:W3CDTF">2026-04-28T15:03:14Z</dcterms:created>
  <dcterms:modified xsi:type="dcterms:W3CDTF">2026-04-28T16:38:29Z</dcterms:modified>
</cp:coreProperties>
</file>